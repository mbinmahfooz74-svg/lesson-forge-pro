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Model" sheetId="3" state="visible" r:id="rId3"/>
    <sheet name="DCF" sheetId="4" state="visible" r:id="rId4"/>
    <sheet name="Sensitivity" sheetId="5" state="visible" r:id="rId5"/>
    <sheet name="Com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;($#,##0.0);&quot;-&quot;"/>
    <numFmt numFmtId="166" formatCode="0.0"/>
    <numFmt numFmtId="167" formatCode="#,##0.0"/>
    <numFmt numFmtId="168" formatCode="0.000"/>
    <numFmt numFmtId="169" formatCode="$#,##0.00"/>
    <numFmt numFmtId="170" formatCode="0.0x"/>
  </numFmts>
  <fonts count="10">
    <font>
      <name val="Calibri"/>
      <family val="2"/>
      <color theme="1"/>
      <sz val="11"/>
      <scheme val="minor"/>
    </font>
    <font>
      <name val="Arial"/>
      <b val="1"/>
      <color rgb="00B45309"/>
      <sz val="13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78716C"/>
      <sz val="8"/>
    </font>
    <font>
      <name val="Arial"/>
      <b val="1"/>
      <color rgb="00FFFFFF"/>
      <sz val="10"/>
    </font>
    <font>
      <name val="Arial"/>
      <color rgb="00008000"/>
      <sz val="10"/>
    </font>
    <font>
      <name val="Arial"/>
      <color rgb="0078716C"/>
      <sz val="9"/>
    </font>
  </fonts>
  <fills count="3">
    <fill>
      <patternFill/>
    </fill>
    <fill>
      <patternFill patternType="gray125"/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6" fillId="0" borderId="0" pivotButton="0" quotePrefix="0" xfId="0"/>
    <xf numFmtId="1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164" fontId="5" fillId="0" borderId="0" pivotButton="0" quotePrefix="0" xfId="0"/>
    <xf numFmtId="0" fontId="3" fillId="0" borderId="0" applyAlignment="1" pivotButton="0" quotePrefix="0" xfId="0">
      <alignment horizontal="right"/>
    </xf>
    <xf numFmtId="0" fontId="7" fillId="2" borderId="0" pivotButton="0" quotePrefix="0" xfId="0"/>
    <xf numFmtId="165" fontId="8" fillId="0" borderId="0" pivotButton="0" quotePrefix="0" xfId="0"/>
    <xf numFmtId="165" fontId="5" fillId="0" borderId="0" pivotButton="0" quotePrefix="0" xfId="0"/>
    <xf numFmtId="0" fontId="9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164" fontId="8" fillId="0" borderId="0" pivotButton="0" quotePrefix="0" xfId="0"/>
    <xf numFmtId="167" fontId="8" fillId="0" borderId="0" pivotButton="0" quotePrefix="0" xfId="0"/>
    <xf numFmtId="169" fontId="5" fillId="0" borderId="0" pivotButton="0" quotePrefix="0" xfId="0"/>
    <xf numFmtId="170" fontId="4" fillId="0" borderId="0" pivotButton="0" quotePrefix="0" xfId="0"/>
    <xf numFmtId="170" fontId="5" fillId="0" borderId="0" pivotButton="0" quotePrefix="0" xfId="0"/>
    <xf numFmtId="169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LF</author>
  </authors>
  <commentList>
    <comment ref="B5" authorId="0" shapeId="0">
      <text>
        <t>Source: illustrative teaching data (fictional company)</t>
      </text>
    </comment>
    <comment ref="B38" authorId="0" shapeId="0">
      <text>
        <t>Opening debt used for interest calc (prior-year balance).</t>
      </text>
    </comment>
  </commentList>
</comments>
</file>

<file path=xl/comments/comment2.xml><?xml version="1.0" encoding="utf-8"?>
<comments xmlns="http://schemas.openxmlformats.org/spreadsheetml/2006/main">
  <authors>
    <author>LF</author>
  </authors>
  <commentList>
    <comment ref="B4" authorId="0" shapeId="0">
      <text>
        <t>Source: illustrative teaching data (fictional peers)</t>
      </text>
    </comment>
    <comment ref="B5" authorId="0" shapeId="0">
      <text>
        <t>Source: illustrative teaching data (fictional peers)</t>
      </text>
    </comment>
    <comment ref="B6" authorId="0" shapeId="0">
      <text>
        <t>Source: illustrative teaching data (fictional peers)</t>
      </text>
    </comment>
    <comment ref="B7" authorId="0" shapeId="0">
      <text>
        <t>Source: illustrative teaching data (fictional peers)</t>
      </text>
    </comment>
    <comment ref="B8" authorId="0" shapeId="0">
      <text>
        <t>Source: illustrative teaching data (fictional peers)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FMVA Prep — Practice Modeling Workbook</t>
        </is>
      </c>
    </row>
    <row r="4">
      <c r="B4" s="2" t="inlineStr">
        <is>
          <t>Companion to the 7-day FMVA certification prep bootcamp (Lesson Forge Pro · Investment vertical).</t>
        </is>
      </c>
    </row>
    <row r="5">
      <c r="B5" s="2" t="inlineStr">
        <is>
          <t>All company data is FICTIONAL ("Falcon Manufacturing Co.") and illustrative for teaching only.</t>
        </is>
      </c>
    </row>
    <row r="6">
      <c r="B6" s="2" t="inlineStr">
        <is>
          <t>Independent study material. FMVA® is a certification of the Corporate Finance Institute (CFI);</t>
        </is>
      </c>
    </row>
    <row r="7">
      <c r="B7" s="2" t="inlineStr">
        <is>
          <t>this workbook is not affiliated with, or endorsed by, CFI.</t>
        </is>
      </c>
    </row>
    <row r="8">
      <c r="B8" s="2" t="inlineStr"/>
    </row>
    <row r="9">
      <c r="B9" s="2" t="inlineStr">
        <is>
          <t>How to use: work the sheets in day order. In the PRACTICE workbook, yellow cells are yours</t>
        </is>
      </c>
    </row>
    <row r="10">
      <c r="B10" s="2" t="inlineStr">
        <is>
          <t>to complete (each has a comment telling you what to build). Check against the ANSWER KEY.</t>
        </is>
      </c>
    </row>
    <row r="11">
      <c r="B11" s="2" t="inlineStr"/>
    </row>
    <row r="12">
      <c r="B12" s="2" t="inlineStr">
        <is>
          <t>Color code:  BLUE = hardcoded input · BLACK = formula · GREEN = link to another sheet.</t>
        </is>
      </c>
    </row>
    <row r="13">
      <c r="B13" s="2" t="inlineStr"/>
    </row>
    <row r="14">
      <c r="B14" s="2" t="inlineStr">
        <is>
          <t>Sheet map:  Assumptions (Day 1-2) · Model = 3-statement (Day 2) · DCF (Day 3) ·</t>
        </is>
      </c>
    </row>
    <row r="15">
      <c r="B15" s="2" t="inlineStr">
        <is>
          <t>Sensitivity (Day 4) · Comps (Day 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2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2">
      <c r="B2" s="1" t="inlineStr">
        <is>
          <t>Operating &amp; valuation assumptions — Falcon Manufacturing Co. ($mm)</t>
        </is>
      </c>
    </row>
    <row r="4">
      <c r="A4" s="3" t="inlineStr">
        <is>
          <t>Operating</t>
        </is>
      </c>
    </row>
    <row r="5">
      <c r="A5" s="2" t="inlineStr">
        <is>
          <t>Revenue growth (yoy)</t>
        </is>
      </c>
      <c r="B5" s="4" t="n">
        <v>0.08</v>
      </c>
      <c r="C5" s="5" t="inlineStr">
        <is>
          <t>Source: illustrative teaching assumption, Lesson Forge FMVA bootcamp, 2026</t>
        </is>
      </c>
    </row>
    <row r="6">
      <c r="A6" s="2" t="inlineStr">
        <is>
          <t>COGS (% of revenue)</t>
        </is>
      </c>
      <c r="B6" s="4" t="n">
        <v>0.6</v>
      </c>
    </row>
    <row r="7">
      <c r="A7" s="2" t="inlineStr">
        <is>
          <t>SG&amp;A (% of revenue)</t>
        </is>
      </c>
      <c r="B7" s="4" t="n">
        <v>0.2</v>
      </c>
    </row>
    <row r="8">
      <c r="A8" s="2" t="inlineStr">
        <is>
          <t>D&amp;A (% of revenue)</t>
        </is>
      </c>
      <c r="B8" s="4" t="n">
        <v>0.05</v>
      </c>
    </row>
    <row r="9">
      <c r="A9" s="2" t="inlineStr">
        <is>
          <t>Tax rate</t>
        </is>
      </c>
      <c r="B9" s="4" t="n">
        <v>0.25</v>
      </c>
    </row>
    <row r="10">
      <c r="A10" s="2" t="inlineStr">
        <is>
          <t>Capex (% of revenue)</t>
        </is>
      </c>
      <c r="B10" s="4" t="n">
        <v>0.06</v>
      </c>
    </row>
    <row r="11">
      <c r="A11" s="2" t="inlineStr">
        <is>
          <t>DSO (days sales outstanding)</t>
        </is>
      </c>
      <c r="B11" s="6" t="n">
        <v>45</v>
      </c>
    </row>
    <row r="12">
      <c r="A12" s="2" t="inlineStr">
        <is>
          <t>DIO (days inventory)</t>
        </is>
      </c>
      <c r="B12" s="6" t="n">
        <v>60</v>
      </c>
    </row>
    <row r="13">
      <c r="A13" s="2" t="inlineStr">
        <is>
          <t>DPO (days payables)</t>
        </is>
      </c>
      <c r="B13" s="6" t="n">
        <v>40</v>
      </c>
    </row>
    <row r="14">
      <c r="A14" s="2" t="inlineStr">
        <is>
          <t>Debt repayment / yr ($mm)</t>
        </is>
      </c>
      <c r="B14" s="7" t="n">
        <v>5</v>
      </c>
    </row>
    <row r="15">
      <c r="A15" s="2" t="inlineStr">
        <is>
          <t>Interest rate on debt</t>
        </is>
      </c>
      <c r="B15" s="4" t="n">
        <v>0.08</v>
      </c>
    </row>
    <row r="18">
      <c r="A18" s="3" t="inlineStr">
        <is>
          <t>Valuation (WACC build)</t>
        </is>
      </c>
    </row>
    <row r="19">
      <c r="A19" s="2" t="inlineStr">
        <is>
          <t>Risk-free rate</t>
        </is>
      </c>
      <c r="B19" s="4" t="n">
        <v>0.045</v>
      </c>
    </row>
    <row r="20">
      <c r="A20" s="2" t="inlineStr">
        <is>
          <t>Equity risk premium</t>
        </is>
      </c>
      <c r="B20" s="4" t="n">
        <v>0.055</v>
      </c>
    </row>
    <row r="21">
      <c r="A21" s="2" t="inlineStr">
        <is>
          <t>Beta</t>
        </is>
      </c>
      <c r="B21" s="8" t="n">
        <v>1.2</v>
      </c>
    </row>
    <row r="22">
      <c r="A22" s="2" t="inlineStr">
        <is>
          <t>Cost of debt (pre-tax)</t>
        </is>
      </c>
      <c r="B22" s="4" t="n">
        <v>0.06</v>
      </c>
    </row>
    <row r="23">
      <c r="A23" s="2" t="inlineStr">
        <is>
          <t>Equity / total capital</t>
        </is>
      </c>
      <c r="B23" s="4" t="n">
        <v>0.7</v>
      </c>
    </row>
    <row r="24">
      <c r="A24" s="2" t="inlineStr">
        <is>
          <t>Debt / total capital</t>
        </is>
      </c>
      <c r="B24" s="4" t="n">
        <v>0.3</v>
      </c>
    </row>
    <row r="25">
      <c r="A25" s="2" t="inlineStr">
        <is>
          <t>Terminal growth (g)</t>
        </is>
      </c>
      <c r="B25" s="4" t="n">
        <v>0.025</v>
      </c>
    </row>
    <row r="26">
      <c r="A26" s="2" t="inlineStr">
        <is>
          <t>Diluted shares out (mm)</t>
        </is>
      </c>
      <c r="B26" s="9" t="n">
        <v>50</v>
      </c>
    </row>
    <row r="28">
      <c r="A28" s="2" t="inlineStr">
        <is>
          <t>Cost of equity (CAPM)</t>
        </is>
      </c>
      <c r="B28" s="10">
        <f>B19+B21*B20</f>
        <v/>
      </c>
    </row>
    <row r="29">
      <c r="A29" s="3" t="inlineStr">
        <is>
          <t>WACC</t>
        </is>
      </c>
      <c r="B29" s="10">
        <f>B23*B28+B24*B22*(1-B9)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Falcon Manufacturing Co. — integrated 3-statement model ($mm)</t>
        </is>
      </c>
    </row>
    <row r="3">
      <c r="B3" s="11" t="inlineStr">
        <is>
          <t>FY2024A</t>
        </is>
      </c>
      <c r="C3" s="11" t="inlineStr">
        <is>
          <t>FY2025E</t>
        </is>
      </c>
      <c r="D3" s="11" t="inlineStr">
        <is>
          <t>FY2026E</t>
        </is>
      </c>
      <c r="E3" s="11" t="inlineStr">
        <is>
          <t>FY2027E</t>
        </is>
      </c>
      <c r="F3" s="11" t="inlineStr">
        <is>
          <t>FY2028E</t>
        </is>
      </c>
      <c r="G3" s="11" t="inlineStr">
        <is>
          <t>FY2029E</t>
        </is>
      </c>
    </row>
    <row r="4">
      <c r="A4" s="12" t="inlineStr">
        <is>
          <t>Income statement</t>
        </is>
      </c>
    </row>
    <row r="5">
      <c r="A5" s="3" t="inlineStr">
        <is>
          <t>Revenue</t>
        </is>
      </c>
      <c r="B5" s="7" t="n">
        <v>500</v>
      </c>
      <c r="C5" s="13">
        <f>B5*(1+Assumptions!$B$5)</f>
        <v/>
      </c>
      <c r="D5" s="13">
        <f>C5*(1+Assumptions!$B$5)</f>
        <v/>
      </c>
      <c r="E5" s="13">
        <f>D5*(1+Assumptions!$B$5)</f>
        <v/>
      </c>
      <c r="F5" s="13">
        <f>E5*(1+Assumptions!$B$5)</f>
        <v/>
      </c>
      <c r="G5" s="13">
        <f>F5*(1+Assumptions!$B$5)</f>
        <v/>
      </c>
    </row>
    <row r="6">
      <c r="A6" s="2" t="inlineStr">
        <is>
          <t>COGS</t>
        </is>
      </c>
      <c r="B6" s="7" t="n">
        <v>300</v>
      </c>
      <c r="C6" s="13">
        <f>C5*Assumptions!$B$6</f>
        <v/>
      </c>
      <c r="D6" s="13">
        <f>D5*Assumptions!$B$6</f>
        <v/>
      </c>
      <c r="E6" s="13">
        <f>E5*Assumptions!$B$6</f>
        <v/>
      </c>
      <c r="F6" s="13">
        <f>F5*Assumptions!$B$6</f>
        <v/>
      </c>
      <c r="G6" s="13">
        <f>G5*Assumptions!$B$6</f>
        <v/>
      </c>
    </row>
    <row r="7">
      <c r="A7" s="2" t="inlineStr">
        <is>
          <t>Gross profit</t>
        </is>
      </c>
      <c r="B7" s="14">
        <f>B5-B6</f>
        <v/>
      </c>
      <c r="C7" s="14">
        <f>C5-C6</f>
        <v/>
      </c>
      <c r="D7" s="14">
        <f>D5-D6</f>
        <v/>
      </c>
      <c r="E7" s="14">
        <f>E5-E6</f>
        <v/>
      </c>
      <c r="F7" s="14">
        <f>F5-F6</f>
        <v/>
      </c>
      <c r="G7" s="14">
        <f>G5-G6</f>
        <v/>
      </c>
    </row>
    <row r="8">
      <c r="A8" s="2" t="inlineStr">
        <is>
          <t>SG&amp;A</t>
        </is>
      </c>
      <c r="B8" s="7" t="n">
        <v>100</v>
      </c>
      <c r="C8" s="13">
        <f>C5*Assumptions!$B$7</f>
        <v/>
      </c>
      <c r="D8" s="13">
        <f>D5*Assumptions!$B$7</f>
        <v/>
      </c>
      <c r="E8" s="13">
        <f>E5*Assumptions!$B$7</f>
        <v/>
      </c>
      <c r="F8" s="13">
        <f>F5*Assumptions!$B$7</f>
        <v/>
      </c>
      <c r="G8" s="13">
        <f>G5*Assumptions!$B$7</f>
        <v/>
      </c>
    </row>
    <row r="9">
      <c r="A9" s="3" t="inlineStr">
        <is>
          <t>EBITDA</t>
        </is>
      </c>
      <c r="B9" s="14">
        <f>B7-B8</f>
        <v/>
      </c>
      <c r="C9" s="14">
        <f>C7-C8</f>
        <v/>
      </c>
      <c r="D9" s="14">
        <f>D7-D8</f>
        <v/>
      </c>
      <c r="E9" s="14">
        <f>E7-E8</f>
        <v/>
      </c>
      <c r="F9" s="14">
        <f>F7-F8</f>
        <v/>
      </c>
      <c r="G9" s="14">
        <f>G7-G8</f>
        <v/>
      </c>
    </row>
    <row r="10">
      <c r="A10" s="2" t="inlineStr">
        <is>
          <t>D&amp;A</t>
        </is>
      </c>
      <c r="B10" s="7" t="n">
        <v>25</v>
      </c>
      <c r="C10" s="13">
        <f>C5*Assumptions!$B$8</f>
        <v/>
      </c>
      <c r="D10" s="13">
        <f>D5*Assumptions!$B$8</f>
        <v/>
      </c>
      <c r="E10" s="13">
        <f>E5*Assumptions!$B$8</f>
        <v/>
      </c>
      <c r="F10" s="13">
        <f>F5*Assumptions!$B$8</f>
        <v/>
      </c>
      <c r="G10" s="13">
        <f>G5*Assumptions!$B$8</f>
        <v/>
      </c>
    </row>
    <row r="11">
      <c r="A11" s="2" t="inlineStr">
        <is>
          <t>EBIT</t>
        </is>
      </c>
      <c r="B11" s="14">
        <f>B9-B10</f>
        <v/>
      </c>
      <c r="C11" s="14">
        <f>C9-C10</f>
        <v/>
      </c>
      <c r="D11" s="14">
        <f>D9-D10</f>
        <v/>
      </c>
      <c r="E11" s="14">
        <f>E9-E10</f>
        <v/>
      </c>
      <c r="F11" s="14">
        <f>F9-F10</f>
        <v/>
      </c>
      <c r="G11" s="14">
        <f>G9-G10</f>
        <v/>
      </c>
    </row>
    <row r="12">
      <c r="A12" s="2" t="inlineStr">
        <is>
          <t>Interest expense</t>
        </is>
      </c>
      <c r="B12" s="7" t="n">
        <v>8</v>
      </c>
      <c r="C12" s="13">
        <f>B38*Assumptions!$B$15</f>
        <v/>
      </c>
      <c r="D12" s="13">
        <f>C38*Assumptions!$B$15</f>
        <v/>
      </c>
      <c r="E12" s="13">
        <f>D38*Assumptions!$B$15</f>
        <v/>
      </c>
      <c r="F12" s="13">
        <f>E38*Assumptions!$B$15</f>
        <v/>
      </c>
      <c r="G12" s="13">
        <f>F38*Assumptions!$B$15</f>
        <v/>
      </c>
    </row>
    <row r="13">
      <c r="A13" s="2" t="inlineStr">
        <is>
          <t>Pre-tax income</t>
        </is>
      </c>
      <c r="B13" s="14">
        <f>B11-B12</f>
        <v/>
      </c>
      <c r="C13" s="14">
        <f>C11-C12</f>
        <v/>
      </c>
      <c r="D13" s="14">
        <f>D11-D12</f>
        <v/>
      </c>
      <c r="E13" s="14">
        <f>E11-E12</f>
        <v/>
      </c>
      <c r="F13" s="14">
        <f>F11-F12</f>
        <v/>
      </c>
      <c r="G13" s="14">
        <f>G11-G12</f>
        <v/>
      </c>
    </row>
    <row r="14">
      <c r="A14" s="2" t="inlineStr">
        <is>
          <t>Taxes</t>
        </is>
      </c>
      <c r="B14" s="13">
        <f>B13*Assumptions!$B$9</f>
        <v/>
      </c>
      <c r="C14" s="13">
        <f>C13*Assumptions!$B$9</f>
        <v/>
      </c>
      <c r="D14" s="13">
        <f>D13*Assumptions!$B$9</f>
        <v/>
      </c>
      <c r="E14" s="13">
        <f>E13*Assumptions!$B$9</f>
        <v/>
      </c>
      <c r="F14" s="13">
        <f>F13*Assumptions!$B$9</f>
        <v/>
      </c>
      <c r="G14" s="13">
        <f>G13*Assumptions!$B$9</f>
        <v/>
      </c>
    </row>
    <row r="15">
      <c r="A15" s="3" t="inlineStr">
        <is>
          <t>Net income</t>
        </is>
      </c>
      <c r="B15" s="14">
        <f>B13-B14</f>
        <v/>
      </c>
      <c r="C15" s="14">
        <f>C13-C14</f>
        <v/>
      </c>
      <c r="D15" s="14">
        <f>D13-D14</f>
        <v/>
      </c>
      <c r="E15" s="14">
        <f>E13-E14</f>
        <v/>
      </c>
      <c r="F15" s="14">
        <f>F13-F14</f>
        <v/>
      </c>
      <c r="G15" s="14">
        <f>G13-G14</f>
        <v/>
      </c>
    </row>
    <row r="17">
      <c r="A17" s="12" t="inlineStr">
        <is>
          <t>Working capital</t>
        </is>
      </c>
    </row>
    <row r="18">
      <c r="A18" s="2" t="inlineStr">
        <is>
          <t>Accounts receivable</t>
        </is>
      </c>
      <c r="B18" s="13">
        <f>B5/365*Assumptions!$B$11</f>
        <v/>
      </c>
      <c r="C18" s="13">
        <f>C5/365*Assumptions!$B$11</f>
        <v/>
      </c>
      <c r="D18" s="13">
        <f>D5/365*Assumptions!$B$11</f>
        <v/>
      </c>
      <c r="E18" s="13">
        <f>E5/365*Assumptions!$B$11</f>
        <v/>
      </c>
      <c r="F18" s="13">
        <f>F5/365*Assumptions!$B$11</f>
        <v/>
      </c>
      <c r="G18" s="13">
        <f>G5/365*Assumptions!$B$11</f>
        <v/>
      </c>
    </row>
    <row r="19">
      <c r="A19" s="2" t="inlineStr">
        <is>
          <t>Inventory</t>
        </is>
      </c>
      <c r="B19" s="13">
        <f>B6/365*Assumptions!$B$12</f>
        <v/>
      </c>
      <c r="C19" s="13">
        <f>C6/365*Assumptions!$B$12</f>
        <v/>
      </c>
      <c r="D19" s="13">
        <f>D6/365*Assumptions!$B$12</f>
        <v/>
      </c>
      <c r="E19" s="13">
        <f>E6/365*Assumptions!$B$12</f>
        <v/>
      </c>
      <c r="F19" s="13">
        <f>F6/365*Assumptions!$B$12</f>
        <v/>
      </c>
      <c r="G19" s="13">
        <f>G6/365*Assumptions!$B$12</f>
        <v/>
      </c>
    </row>
    <row r="20">
      <c r="A20" s="2" t="inlineStr">
        <is>
          <t>Accounts payable</t>
        </is>
      </c>
      <c r="B20" s="13">
        <f>B6/365*Assumptions!$B$13</f>
        <v/>
      </c>
      <c r="C20" s="13">
        <f>C6/365*Assumptions!$B$13</f>
        <v/>
      </c>
      <c r="D20" s="13">
        <f>D6/365*Assumptions!$B$13</f>
        <v/>
      </c>
      <c r="E20" s="13">
        <f>E6/365*Assumptions!$B$13</f>
        <v/>
      </c>
      <c r="F20" s="13">
        <f>F6/365*Assumptions!$B$13</f>
        <v/>
      </c>
      <c r="G20" s="13">
        <f>G6/365*Assumptions!$B$13</f>
        <v/>
      </c>
    </row>
    <row r="21">
      <c r="A21" s="2" t="inlineStr">
        <is>
          <t>Net working capital</t>
        </is>
      </c>
      <c r="B21" s="14">
        <f>B18+B19-B20</f>
        <v/>
      </c>
      <c r="C21" s="14">
        <f>C18+C19-C20</f>
        <v/>
      </c>
      <c r="D21" s="14">
        <f>D18+D19-D20</f>
        <v/>
      </c>
      <c r="E21" s="14">
        <f>E18+E19-E20</f>
        <v/>
      </c>
      <c r="F21" s="14">
        <f>F18+F19-F20</f>
        <v/>
      </c>
      <c r="G21" s="14">
        <f>G18+G19-G20</f>
        <v/>
      </c>
    </row>
    <row r="22">
      <c r="A22" s="2" t="inlineStr">
        <is>
          <t>Change in NWC</t>
        </is>
      </c>
      <c r="B22" s="14" t="n">
        <v>0</v>
      </c>
      <c r="C22" s="14">
        <f>C21-B21</f>
        <v/>
      </c>
      <c r="D22" s="14">
        <f>D21-C21</f>
        <v/>
      </c>
      <c r="E22" s="14">
        <f>E21-D21</f>
        <v/>
      </c>
      <c r="F22" s="14">
        <f>F21-E21</f>
        <v/>
      </c>
      <c r="G22" s="14">
        <f>G21-F21</f>
        <v/>
      </c>
    </row>
    <row r="24">
      <c r="A24" s="12" t="inlineStr">
        <is>
          <t>Cash flow statement</t>
        </is>
      </c>
    </row>
    <row r="25">
      <c r="A25" s="2" t="inlineStr">
        <is>
          <t>Net income</t>
        </is>
      </c>
      <c r="C25" s="14">
        <f>C15</f>
        <v/>
      </c>
      <c r="D25" s="14">
        <f>D15</f>
        <v/>
      </c>
      <c r="E25" s="14">
        <f>E15</f>
        <v/>
      </c>
      <c r="F25" s="14">
        <f>F15</f>
        <v/>
      </c>
      <c r="G25" s="14">
        <f>G15</f>
        <v/>
      </c>
    </row>
    <row r="26">
      <c r="A26" s="2" t="inlineStr">
        <is>
          <t>(+) D&amp;A</t>
        </is>
      </c>
      <c r="C26" s="14">
        <f>C10</f>
        <v/>
      </c>
      <c r="D26" s="14">
        <f>D10</f>
        <v/>
      </c>
      <c r="E26" s="14">
        <f>E10</f>
        <v/>
      </c>
      <c r="F26" s="14">
        <f>F10</f>
        <v/>
      </c>
      <c r="G26" s="14">
        <f>G10</f>
        <v/>
      </c>
    </row>
    <row r="27">
      <c r="A27" s="2" t="inlineStr">
        <is>
          <t>(−) Change in NWC</t>
        </is>
      </c>
      <c r="C27" s="14">
        <f>-C22</f>
        <v/>
      </c>
      <c r="D27" s="14">
        <f>-D22</f>
        <v/>
      </c>
      <c r="E27" s="14">
        <f>-E22</f>
        <v/>
      </c>
      <c r="F27" s="14">
        <f>-F22</f>
        <v/>
      </c>
      <c r="G27" s="14">
        <f>-G22</f>
        <v/>
      </c>
    </row>
    <row r="28">
      <c r="A28" s="3" t="inlineStr">
        <is>
          <t>Cash from operations</t>
        </is>
      </c>
      <c r="C28" s="14">
        <f>SUM(C25:C27)</f>
        <v/>
      </c>
      <c r="D28" s="14">
        <f>SUM(D25:D27)</f>
        <v/>
      </c>
      <c r="E28" s="14">
        <f>SUM(E25:E27)</f>
        <v/>
      </c>
      <c r="F28" s="14">
        <f>SUM(F25:F27)</f>
        <v/>
      </c>
      <c r="G28" s="14">
        <f>SUM(G25:G27)</f>
        <v/>
      </c>
    </row>
    <row r="29">
      <c r="A29" s="2" t="inlineStr">
        <is>
          <t>Capex</t>
        </is>
      </c>
      <c r="C29" s="13">
        <f>-C5*Assumptions!$B$10</f>
        <v/>
      </c>
      <c r="D29" s="13">
        <f>-D5*Assumptions!$B$10</f>
        <v/>
      </c>
      <c r="E29" s="13">
        <f>-E5*Assumptions!$B$10</f>
        <v/>
      </c>
      <c r="F29" s="13">
        <f>-F5*Assumptions!$B$10</f>
        <v/>
      </c>
      <c r="G29" s="13">
        <f>-G5*Assumptions!$B$10</f>
        <v/>
      </c>
    </row>
    <row r="30">
      <c r="A30" s="2" t="inlineStr">
        <is>
          <t>Debt repayment</t>
        </is>
      </c>
      <c r="C30" s="13">
        <f>-Assumptions!$B$14</f>
        <v/>
      </c>
      <c r="D30" s="13">
        <f>-Assumptions!$B$14</f>
        <v/>
      </c>
      <c r="E30" s="13">
        <f>-Assumptions!$B$14</f>
        <v/>
      </c>
      <c r="F30" s="13">
        <f>-Assumptions!$B$14</f>
        <v/>
      </c>
      <c r="G30" s="13">
        <f>-Assumptions!$B$14</f>
        <v/>
      </c>
    </row>
    <row r="31">
      <c r="A31" s="2" t="inlineStr">
        <is>
          <t>Net change in cash</t>
        </is>
      </c>
      <c r="C31" s="14">
        <f>C28+C29+C30</f>
        <v/>
      </c>
      <c r="D31" s="14">
        <f>D28+D29+D30</f>
        <v/>
      </c>
      <c r="E31" s="14">
        <f>E28+E29+E30</f>
        <v/>
      </c>
      <c r="F31" s="14">
        <f>F28+F29+F30</f>
        <v/>
      </c>
      <c r="G31" s="14">
        <f>G28+G29+G30</f>
        <v/>
      </c>
    </row>
    <row r="32">
      <c r="A32" s="3" t="inlineStr">
        <is>
          <t>Ending cash</t>
        </is>
      </c>
      <c r="B32" s="7" t="n">
        <v>40</v>
      </c>
      <c r="C32" s="14">
        <f>B32+C31</f>
        <v/>
      </c>
      <c r="D32" s="14">
        <f>C32+D31</f>
        <v/>
      </c>
      <c r="E32" s="14">
        <f>D32+E31</f>
        <v/>
      </c>
      <c r="F32" s="14">
        <f>E32+F31</f>
        <v/>
      </c>
      <c r="G32" s="14">
        <f>F32+G31</f>
        <v/>
      </c>
    </row>
    <row r="34">
      <c r="A34" s="12" t="inlineStr">
        <is>
          <t>Balance sheet (year end)</t>
        </is>
      </c>
    </row>
    <row r="35">
      <c r="A35" s="2" t="inlineStr">
        <is>
          <t>Cash</t>
        </is>
      </c>
      <c r="B35" s="14">
        <f>B32</f>
        <v/>
      </c>
      <c r="C35" s="14">
        <f>C32</f>
        <v/>
      </c>
      <c r="D35" s="14">
        <f>D32</f>
        <v/>
      </c>
      <c r="E35" s="14">
        <f>E32</f>
        <v/>
      </c>
      <c r="F35" s="14">
        <f>F32</f>
        <v/>
      </c>
      <c r="G35" s="14">
        <f>G32</f>
        <v/>
      </c>
    </row>
    <row r="36">
      <c r="A36" s="2" t="inlineStr">
        <is>
          <t>Accounts receivable</t>
        </is>
      </c>
      <c r="B36" s="14">
        <f>B18</f>
        <v/>
      </c>
      <c r="C36" s="14">
        <f>C18</f>
        <v/>
      </c>
      <c r="D36" s="14">
        <f>D18</f>
        <v/>
      </c>
      <c r="E36" s="14">
        <f>E18</f>
        <v/>
      </c>
      <c r="F36" s="14">
        <f>F18</f>
        <v/>
      </c>
      <c r="G36" s="14">
        <f>G18</f>
        <v/>
      </c>
    </row>
    <row r="37">
      <c r="A37" s="2" t="inlineStr">
        <is>
          <t>Inventory</t>
        </is>
      </c>
      <c r="B37" s="14">
        <f>B19</f>
        <v/>
      </c>
      <c r="C37" s="14">
        <f>C19</f>
        <v/>
      </c>
      <c r="D37" s="14">
        <f>D19</f>
        <v/>
      </c>
      <c r="E37" s="14">
        <f>E19</f>
        <v/>
      </c>
      <c r="F37" s="14">
        <f>F19</f>
        <v/>
      </c>
      <c r="G37" s="14">
        <f>G19</f>
        <v/>
      </c>
    </row>
    <row r="38">
      <c r="A38" s="15" t="inlineStr">
        <is>
          <t>Debt (opening, memo)</t>
        </is>
      </c>
      <c r="B38" s="7" t="n">
        <v>100</v>
      </c>
      <c r="C38" s="14">
        <f>B42</f>
        <v/>
      </c>
      <c r="D38" s="14">
        <f>C42</f>
        <v/>
      </c>
      <c r="E38" s="14">
        <f>D42</f>
        <v/>
      </c>
      <c r="F38" s="14">
        <f>E42</f>
        <v/>
      </c>
      <c r="G38" s="14">
        <f>F42</f>
        <v/>
      </c>
    </row>
    <row r="39">
      <c r="A39" s="2" t="inlineStr">
        <is>
          <t>PP&amp;E, net</t>
        </is>
      </c>
      <c r="B39" s="7" t="n">
        <v>200</v>
      </c>
      <c r="C39" s="13">
        <f>B39+C5*Assumptions!$B$10-C10</f>
        <v/>
      </c>
      <c r="D39" s="13">
        <f>C39+D5*Assumptions!$B$10-D10</f>
        <v/>
      </c>
      <c r="E39" s="13">
        <f>D39+E5*Assumptions!$B$10-E10</f>
        <v/>
      </c>
      <c r="F39" s="13">
        <f>E39+F5*Assumptions!$B$10-F10</f>
        <v/>
      </c>
      <c r="G39" s="13">
        <f>F39+G5*Assumptions!$B$10-G10</f>
        <v/>
      </c>
    </row>
    <row r="40">
      <c r="A40" s="3" t="inlineStr">
        <is>
          <t>Total assets</t>
        </is>
      </c>
      <c r="B40" s="14">
        <f>B35+B36+B37+B39</f>
        <v/>
      </c>
      <c r="C40" s="14">
        <f>C35+C36+C37+C39</f>
        <v/>
      </c>
      <c r="D40" s="14">
        <f>D35+D36+D37+D39</f>
        <v/>
      </c>
      <c r="E40" s="14">
        <f>E35+E36+E37+E39</f>
        <v/>
      </c>
      <c r="F40" s="14">
        <f>F35+F36+F37+F39</f>
        <v/>
      </c>
      <c r="G40" s="14">
        <f>G35+G36+G37+G39</f>
        <v/>
      </c>
    </row>
    <row r="41">
      <c r="A41" s="2" t="inlineStr">
        <is>
          <t>Accounts payable</t>
        </is>
      </c>
      <c r="B41" s="14">
        <f>B20</f>
        <v/>
      </c>
      <c r="C41" s="14">
        <f>C20</f>
        <v/>
      </c>
      <c r="D41" s="14">
        <f>D20</f>
        <v/>
      </c>
      <c r="E41" s="14">
        <f>E20</f>
        <v/>
      </c>
      <c r="F41" s="14">
        <f>F20</f>
        <v/>
      </c>
      <c r="G41" s="14">
        <f>G20</f>
        <v/>
      </c>
    </row>
    <row r="42">
      <c r="A42" s="2" t="inlineStr">
        <is>
          <t>Debt</t>
        </is>
      </c>
      <c r="B42" s="14">
        <f>B38</f>
        <v/>
      </c>
      <c r="C42" s="13">
        <f>B42-Assumptions!$B$14</f>
        <v/>
      </c>
      <c r="D42" s="13">
        <f>C42-Assumptions!$B$14</f>
        <v/>
      </c>
      <c r="E42" s="13">
        <f>D42-Assumptions!$B$14</f>
        <v/>
      </c>
      <c r="F42" s="13">
        <f>E42-Assumptions!$B$14</f>
        <v/>
      </c>
      <c r="G42" s="13">
        <f>F42-Assumptions!$B$14</f>
        <v/>
      </c>
    </row>
    <row r="43">
      <c r="A43" s="2" t="inlineStr">
        <is>
          <t>Shareholders' equity</t>
        </is>
      </c>
      <c r="B43" s="14">
        <f>B40-B41-B42</f>
        <v/>
      </c>
      <c r="C43" s="14">
        <f>B43+C15</f>
        <v/>
      </c>
      <c r="D43" s="14">
        <f>C43+D15</f>
        <v/>
      </c>
      <c r="E43" s="14">
        <f>D43+E15</f>
        <v/>
      </c>
      <c r="F43" s="14">
        <f>E43+F15</f>
        <v/>
      </c>
      <c r="G43" s="14">
        <f>F43+G15</f>
        <v/>
      </c>
    </row>
    <row r="44">
      <c r="A44" s="3" t="inlineStr">
        <is>
          <t>Total liabilities &amp; equity</t>
        </is>
      </c>
      <c r="B44" s="14">
        <f>B41+B42+B43</f>
        <v/>
      </c>
      <c r="C44" s="14">
        <f>C41+C42+C43</f>
        <v/>
      </c>
      <c r="D44" s="14">
        <f>D41+D42+D43</f>
        <v/>
      </c>
      <c r="E44" s="14">
        <f>E41+E42+E43</f>
        <v/>
      </c>
      <c r="F44" s="14">
        <f>F41+F42+F43</f>
        <v/>
      </c>
      <c r="G44" s="14">
        <f>G41+G42+G43</f>
        <v/>
      </c>
    </row>
    <row r="45">
      <c r="A45" s="2" t="inlineStr">
        <is>
          <t>Balance check (must be 0)</t>
        </is>
      </c>
      <c r="B45" s="14">
        <f>B40-B44</f>
        <v/>
      </c>
      <c r="C45" s="14">
        <f>C40-C44</f>
        <v/>
      </c>
      <c r="D45" s="14">
        <f>D40-D44</f>
        <v/>
      </c>
      <c r="E45" s="14">
        <f>E40-E44</f>
        <v/>
      </c>
      <c r="F45" s="14">
        <f>F40-F44</f>
        <v/>
      </c>
      <c r="G45" s="14">
        <f>G40-G44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Discounted cash flow valuation ($mm except per share)</t>
        </is>
      </c>
    </row>
    <row r="3">
      <c r="C3" s="11" t="inlineStr">
        <is>
          <t>FY2025E</t>
        </is>
      </c>
      <c r="D3" s="11" t="inlineStr">
        <is>
          <t>FY2026E</t>
        </is>
      </c>
      <c r="E3" s="11" t="inlineStr">
        <is>
          <t>FY2027E</t>
        </is>
      </c>
      <c r="F3" s="11" t="inlineStr">
        <is>
          <t>FY2028E</t>
        </is>
      </c>
      <c r="G3" s="11" t="inlineStr">
        <is>
          <t>FY2029E</t>
        </is>
      </c>
    </row>
    <row r="4">
      <c r="A4" s="2" t="inlineStr">
        <is>
          <t>Period (t)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</row>
    <row r="5">
      <c r="A5" s="3" t="inlineStr">
        <is>
          <t>Unlevered FCF</t>
        </is>
      </c>
      <c r="C5" s="13">
        <f>Model!C11*(1-Assumptions!$B$9)+Model!C10-Model!C5*Assumptions!$B$10-Model!C22</f>
        <v/>
      </c>
      <c r="D5" s="13">
        <f>Model!D11*(1-Assumptions!$B$9)+Model!D10-Model!D5*Assumptions!$B$10-Model!D22</f>
        <v/>
      </c>
      <c r="E5" s="13">
        <f>Model!E11*(1-Assumptions!$B$9)+Model!E10-Model!E5*Assumptions!$B$10-Model!E22</f>
        <v/>
      </c>
      <c r="F5" s="13">
        <f>Model!F11*(1-Assumptions!$B$9)+Model!F10-Model!F5*Assumptions!$B$10-Model!F22</f>
        <v/>
      </c>
      <c r="G5" s="13">
        <f>Model!G11*(1-Assumptions!$B$9)+Model!G10-Model!G5*Assumptions!$B$10-Model!G22</f>
        <v/>
      </c>
    </row>
    <row r="6">
      <c r="A6" s="2" t="inlineStr">
        <is>
          <t>Discount factor</t>
        </is>
      </c>
      <c r="C6" s="17">
        <f>1/(1+$B$10)^C4</f>
        <v/>
      </c>
      <c r="D6" s="17">
        <f>1/(1+$B$10)^D4</f>
        <v/>
      </c>
      <c r="E6" s="17">
        <f>1/(1+$B$10)^E4</f>
        <v/>
      </c>
      <c r="F6" s="17">
        <f>1/(1+$B$10)^F4</f>
        <v/>
      </c>
      <c r="G6" s="17">
        <f>1/(1+$B$10)^G4</f>
        <v/>
      </c>
    </row>
    <row r="7">
      <c r="A7" s="2" t="inlineStr">
        <is>
          <t>PV of FCF</t>
        </is>
      </c>
      <c r="C7" s="14">
        <f>C5*C6</f>
        <v/>
      </c>
      <c r="D7" s="14">
        <f>D5*D6</f>
        <v/>
      </c>
      <c r="E7" s="14">
        <f>E5*E6</f>
        <v/>
      </c>
      <c r="F7" s="14">
        <f>F5*F6</f>
        <v/>
      </c>
      <c r="G7" s="14">
        <f>G5*G6</f>
        <v/>
      </c>
    </row>
    <row r="10">
      <c r="A10" s="2" t="inlineStr">
        <is>
          <t>WACC</t>
        </is>
      </c>
      <c r="B10" s="18">
        <f>Assumptions!B29</f>
        <v/>
      </c>
    </row>
    <row r="11">
      <c r="A11" s="2" t="inlineStr">
        <is>
          <t>Terminal growth (g)</t>
        </is>
      </c>
      <c r="B11" s="18">
        <f>Assumptions!B25</f>
        <v/>
      </c>
    </row>
    <row r="12">
      <c r="A12" s="2" t="inlineStr">
        <is>
          <t>Diluted shares (mm)</t>
        </is>
      </c>
      <c r="B12" s="19">
        <f>Assumptions!B26</f>
        <v/>
      </c>
    </row>
    <row r="14">
      <c r="A14" s="2" t="inlineStr">
        <is>
          <t>Sum of PV (2025–29)</t>
        </is>
      </c>
      <c r="B14" s="14">
        <f>SUM(C7:G7)</f>
        <v/>
      </c>
    </row>
    <row r="15">
      <c r="A15" s="2" t="inlineStr">
        <is>
          <t>Terminal value (Gordon)</t>
        </is>
      </c>
      <c r="B15" s="14">
        <f>G5*(1+B11)/(B10-B11)</f>
        <v/>
      </c>
    </row>
    <row r="16">
      <c r="A16" s="2" t="inlineStr">
        <is>
          <t>PV of terminal value</t>
        </is>
      </c>
      <c r="B16" s="14">
        <f>B15*G6</f>
        <v/>
      </c>
    </row>
    <row r="17">
      <c r="A17" s="3" t="inlineStr">
        <is>
          <t>Enterprise value</t>
        </is>
      </c>
      <c r="B17" s="14">
        <f>B14+B16</f>
        <v/>
      </c>
    </row>
    <row r="18">
      <c r="A18" s="2" t="inlineStr">
        <is>
          <t>Less: net debt (2024)</t>
        </is>
      </c>
      <c r="B18" s="13">
        <f>Model!B42-Model!B35</f>
        <v/>
      </c>
    </row>
    <row r="19">
      <c r="A19" s="3" t="inlineStr">
        <is>
          <t>Equity value</t>
        </is>
      </c>
      <c r="B19" s="14">
        <f>B17-B18</f>
        <v/>
      </c>
    </row>
    <row r="20">
      <c r="A20" s="3" t="inlineStr">
        <is>
          <t>Implied value per share ($)</t>
        </is>
      </c>
      <c r="B20" s="20">
        <f>B19/B12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($) — WACC × terminal growth</t>
        </is>
      </c>
    </row>
    <row r="2">
      <c r="A2" s="15" t="inlineStr">
        <is>
          <t>Rows: WACC · Columns: terminal g. Uses the same FCFs as the DCF sheet.</t>
        </is>
      </c>
    </row>
    <row r="4">
      <c r="B4" s="4" t="n">
        <v>0.015</v>
      </c>
      <c r="C4" s="4" t="n">
        <v>0.02</v>
      </c>
      <c r="D4" s="4" t="n">
        <v>0.025</v>
      </c>
      <c r="E4" s="4" t="n">
        <v>0.03</v>
      </c>
      <c r="F4" s="4" t="n">
        <v>0.035</v>
      </c>
    </row>
    <row r="5">
      <c r="A5" s="4" t="n">
        <v>0.08500000000000001</v>
      </c>
      <c r="B5" s="20">
        <f>(SUMPRODUCT(DCF!$C$5:$G$5,1/(1+$A5)^$B$13:$F$13)+DCF!$G$5*(1+B$4)/($A5-B$4)/(1+$A5)^5-(Model!$B$42-Model!$B$35))/DCF!$B$12</f>
        <v/>
      </c>
      <c r="C5" s="20">
        <f>(SUMPRODUCT(DCF!$C$5:$G$5,1/(1+$A5)^$B$13:$F$13)+DCF!$G$5*(1+C$4)/($A5-C$4)/(1+$A5)^5-(Model!$B$42-Model!$B$35))/DCF!$B$12</f>
        <v/>
      </c>
      <c r="D5" s="20">
        <f>(SUMPRODUCT(DCF!$C$5:$G$5,1/(1+$A5)^$B$13:$F$13)+DCF!$G$5*(1+D$4)/($A5-D$4)/(1+$A5)^5-(Model!$B$42-Model!$B$35))/DCF!$B$12</f>
        <v/>
      </c>
      <c r="E5" s="20">
        <f>(SUMPRODUCT(DCF!$C$5:$G$5,1/(1+$A5)^$B$13:$F$13)+DCF!$G$5*(1+E$4)/($A5-E$4)/(1+$A5)^5-(Model!$B$42-Model!$B$35))/DCF!$B$12</f>
        <v/>
      </c>
      <c r="F5" s="20">
        <f>(SUMPRODUCT(DCF!$C$5:$G$5,1/(1+$A5)^$B$13:$F$13)+DCF!$G$5*(1+F$4)/($A5-F$4)/(1+$A5)^5-(Model!$B$42-Model!$B$35))/DCF!$B$12</f>
        <v/>
      </c>
    </row>
    <row r="6">
      <c r="A6" s="4" t="n">
        <v>0.09</v>
      </c>
      <c r="B6" s="20">
        <f>(SUMPRODUCT(DCF!$C$5:$G$5,1/(1+$A6)^$B$13:$F$13)+DCF!$G$5*(1+B$4)/($A6-B$4)/(1+$A6)^5-(Model!$B$42-Model!$B$35))/DCF!$B$12</f>
        <v/>
      </c>
      <c r="C6" s="20">
        <f>(SUMPRODUCT(DCF!$C$5:$G$5,1/(1+$A6)^$B$13:$F$13)+DCF!$G$5*(1+C$4)/($A6-C$4)/(1+$A6)^5-(Model!$B$42-Model!$B$35))/DCF!$B$12</f>
        <v/>
      </c>
      <c r="D6" s="20">
        <f>(SUMPRODUCT(DCF!$C$5:$G$5,1/(1+$A6)^$B$13:$F$13)+DCF!$G$5*(1+D$4)/($A6-D$4)/(1+$A6)^5-(Model!$B$42-Model!$B$35))/DCF!$B$12</f>
        <v/>
      </c>
      <c r="E6" s="20">
        <f>(SUMPRODUCT(DCF!$C$5:$G$5,1/(1+$A6)^$B$13:$F$13)+DCF!$G$5*(1+E$4)/($A6-E$4)/(1+$A6)^5-(Model!$B$42-Model!$B$35))/DCF!$B$12</f>
        <v/>
      </c>
      <c r="F6" s="20">
        <f>(SUMPRODUCT(DCF!$C$5:$G$5,1/(1+$A6)^$B$13:$F$13)+DCF!$G$5*(1+F$4)/($A6-F$4)/(1+$A6)^5-(Model!$B$42-Model!$B$35))/DCF!$B$12</f>
        <v/>
      </c>
    </row>
    <row r="7">
      <c r="A7" s="4" t="n">
        <v>0.095</v>
      </c>
      <c r="B7" s="20">
        <f>(SUMPRODUCT(DCF!$C$5:$G$5,1/(1+$A7)^$B$13:$F$13)+DCF!$G$5*(1+B$4)/($A7-B$4)/(1+$A7)^5-(Model!$B$42-Model!$B$35))/DCF!$B$12</f>
        <v/>
      </c>
      <c r="C7" s="20">
        <f>(SUMPRODUCT(DCF!$C$5:$G$5,1/(1+$A7)^$B$13:$F$13)+DCF!$G$5*(1+C$4)/($A7-C$4)/(1+$A7)^5-(Model!$B$42-Model!$B$35))/DCF!$B$12</f>
        <v/>
      </c>
      <c r="D7" s="20">
        <f>(SUMPRODUCT(DCF!$C$5:$G$5,1/(1+$A7)^$B$13:$F$13)+DCF!$G$5*(1+D$4)/($A7-D$4)/(1+$A7)^5-(Model!$B$42-Model!$B$35))/DCF!$B$12</f>
        <v/>
      </c>
      <c r="E7" s="20">
        <f>(SUMPRODUCT(DCF!$C$5:$G$5,1/(1+$A7)^$B$13:$F$13)+DCF!$G$5*(1+E$4)/($A7-E$4)/(1+$A7)^5-(Model!$B$42-Model!$B$35))/DCF!$B$12</f>
        <v/>
      </c>
      <c r="F7" s="20">
        <f>(SUMPRODUCT(DCF!$C$5:$G$5,1/(1+$A7)^$B$13:$F$13)+DCF!$G$5*(1+F$4)/($A7-F$4)/(1+$A7)^5-(Model!$B$42-Model!$B$35))/DCF!$B$12</f>
        <v/>
      </c>
    </row>
    <row r="8">
      <c r="A8" s="4" t="n">
        <v>0.1</v>
      </c>
      <c r="B8" s="20">
        <f>(SUMPRODUCT(DCF!$C$5:$G$5,1/(1+$A8)^$B$13:$F$13)+DCF!$G$5*(1+B$4)/($A8-B$4)/(1+$A8)^5-(Model!$B$42-Model!$B$35))/DCF!$B$12</f>
        <v/>
      </c>
      <c r="C8" s="20">
        <f>(SUMPRODUCT(DCF!$C$5:$G$5,1/(1+$A8)^$B$13:$F$13)+DCF!$G$5*(1+C$4)/($A8-C$4)/(1+$A8)^5-(Model!$B$42-Model!$B$35))/DCF!$B$12</f>
        <v/>
      </c>
      <c r="D8" s="20">
        <f>(SUMPRODUCT(DCF!$C$5:$G$5,1/(1+$A8)^$B$13:$F$13)+DCF!$G$5*(1+D$4)/($A8-D$4)/(1+$A8)^5-(Model!$B$42-Model!$B$35))/DCF!$B$12</f>
        <v/>
      </c>
      <c r="E8" s="20">
        <f>(SUMPRODUCT(DCF!$C$5:$G$5,1/(1+$A8)^$B$13:$F$13)+DCF!$G$5*(1+E$4)/($A8-E$4)/(1+$A8)^5-(Model!$B$42-Model!$B$35))/DCF!$B$12</f>
        <v/>
      </c>
      <c r="F8" s="20">
        <f>(SUMPRODUCT(DCF!$C$5:$G$5,1/(1+$A8)^$B$13:$F$13)+DCF!$G$5*(1+F$4)/($A8-F$4)/(1+$A8)^5-(Model!$B$42-Model!$B$35))/DCF!$B$12</f>
        <v/>
      </c>
    </row>
    <row r="9">
      <c r="A9" s="4" t="n">
        <v>0.105</v>
      </c>
      <c r="B9" s="20">
        <f>(SUMPRODUCT(DCF!$C$5:$G$5,1/(1+$A9)^$B$13:$F$13)+DCF!$G$5*(1+B$4)/($A9-B$4)/(1+$A9)^5-(Model!$B$42-Model!$B$35))/DCF!$B$12</f>
        <v/>
      </c>
      <c r="C9" s="20">
        <f>(SUMPRODUCT(DCF!$C$5:$G$5,1/(1+$A9)^$B$13:$F$13)+DCF!$G$5*(1+C$4)/($A9-C$4)/(1+$A9)^5-(Model!$B$42-Model!$B$35))/DCF!$B$12</f>
        <v/>
      </c>
      <c r="D9" s="20">
        <f>(SUMPRODUCT(DCF!$C$5:$G$5,1/(1+$A9)^$B$13:$F$13)+DCF!$G$5*(1+D$4)/($A9-D$4)/(1+$A9)^5-(Model!$B$42-Model!$B$35))/DCF!$B$12</f>
        <v/>
      </c>
      <c r="E9" s="20">
        <f>(SUMPRODUCT(DCF!$C$5:$G$5,1/(1+$A9)^$B$13:$F$13)+DCF!$G$5*(1+E$4)/($A9-E$4)/(1+$A9)^5-(Model!$B$42-Model!$B$35))/DCF!$B$12</f>
        <v/>
      </c>
      <c r="F9" s="20">
        <f>(SUMPRODUCT(DCF!$C$5:$G$5,1/(1+$A9)^$B$13:$F$13)+DCF!$G$5*(1+F$4)/($A9-F$4)/(1+$A9)^5-(Model!$B$42-Model!$B$35))/DCF!$B$12</f>
        <v/>
      </c>
    </row>
    <row r="13">
      <c r="A13" s="2" t="inlineStr">
        <is>
          <t>Periods (helper)</t>
        </is>
      </c>
      <c r="B13" s="16" t="n">
        <v>1</v>
      </c>
      <c r="C13" s="16" t="n">
        <v>2</v>
      </c>
      <c r="D13" s="16" t="n">
        <v>3</v>
      </c>
      <c r="E13" s="16" t="n">
        <v>4</v>
      </c>
      <c r="F13" s="1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Comparable companies analysis ($mm except per share)</t>
        </is>
      </c>
    </row>
    <row r="3">
      <c r="A3" s="3" t="inlineStr">
        <is>
          <t>Peer (fictional)</t>
        </is>
      </c>
      <c r="B3" s="3" t="inlineStr">
        <is>
          <t>EV / EBITDA (2025E)</t>
        </is>
      </c>
    </row>
    <row r="4">
      <c r="A4" s="2" t="inlineStr">
        <is>
          <t>Oryx Industrial</t>
        </is>
      </c>
      <c r="B4" s="21" t="n">
        <v>8.199999999999999</v>
      </c>
    </row>
    <row r="5">
      <c r="A5" s="2" t="inlineStr">
        <is>
          <t>Dune Fabrication</t>
        </is>
      </c>
      <c r="B5" s="21" t="n">
        <v>9.1</v>
      </c>
    </row>
    <row r="6">
      <c r="A6" s="2" t="inlineStr">
        <is>
          <t>Gulf Components</t>
        </is>
      </c>
      <c r="B6" s="21" t="n">
        <v>7.6</v>
      </c>
    </row>
    <row r="7">
      <c r="A7" s="2" t="inlineStr">
        <is>
          <t>Sadu Manufacturing</t>
        </is>
      </c>
      <c r="B7" s="21" t="n">
        <v>8.800000000000001</v>
      </c>
    </row>
    <row r="8">
      <c r="A8" s="2" t="inlineStr">
        <is>
          <t>Nakhla Engineering</t>
        </is>
      </c>
      <c r="B8" s="21" t="n">
        <v>9.5</v>
      </c>
    </row>
    <row r="10">
      <c r="A10" s="3" t="inlineStr">
        <is>
          <t>Median multiple</t>
        </is>
      </c>
      <c r="B10" s="22">
        <f>MEDIAN(B4:B8)</f>
        <v/>
      </c>
    </row>
    <row r="12">
      <c r="A12" s="2" t="inlineStr">
        <is>
          <t>Falcon EBITDA 2025E</t>
        </is>
      </c>
      <c r="B12" s="13">
        <f>Model!C9</f>
        <v/>
      </c>
    </row>
    <row r="13">
      <c r="A13" s="2" t="inlineStr">
        <is>
          <t>Implied enterprise value</t>
        </is>
      </c>
      <c r="B13" s="14">
        <f>B10*B12</f>
        <v/>
      </c>
    </row>
    <row r="14">
      <c r="A14" s="2" t="inlineStr">
        <is>
          <t>Less: net debt (2024)</t>
        </is>
      </c>
      <c r="B14" s="13">
        <f>Model!B42-Model!B35</f>
        <v/>
      </c>
    </row>
    <row r="15">
      <c r="A15" s="3" t="inlineStr">
        <is>
          <t>Implied equity value</t>
        </is>
      </c>
      <c r="B15" s="14">
        <f>B13-B14</f>
        <v/>
      </c>
    </row>
    <row r="16">
      <c r="A16" s="3" t="inlineStr">
        <is>
          <t>Implied value per share ($)</t>
        </is>
      </c>
      <c r="B16" s="23">
        <f>B15/DCF!B12</f>
        <v/>
      </c>
    </row>
    <row r="18">
      <c r="A18" s="2" t="inlineStr">
        <is>
          <t>DCF value per share ($)</t>
        </is>
      </c>
      <c r="B18" s="23">
        <f>DCF!B20</f>
        <v/>
      </c>
    </row>
    <row r="19">
      <c r="A19" s="2" t="inlineStr">
        <is>
          <t>Comps premium / (discount) vs DCF</t>
        </is>
      </c>
      <c r="B19" s="10">
        <f>B16/B18-1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2026-07-08T18:32:51Z</dcterms:created>
  <dcterms:modified xsi:type="dcterms:W3CDTF">2026-07-08T18:32:51Z</dcterms:modified>
</cp:coreProperties>
</file>